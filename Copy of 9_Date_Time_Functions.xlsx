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F6B35E1-0578-4A93-9F10-59EA5726B71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" i="8" l="1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5" i="8"/>
  <c r="AC6" i="8"/>
  <c r="AC3" i="8"/>
  <c r="AC4" i="8"/>
  <c r="AC2" i="8"/>
  <c r="Z2" i="8" a="1"/>
  <c r="Z2" i="8" s="1"/>
  <c r="AB2" i="8" a="1"/>
  <c r="AB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AA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1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" i="8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P2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<sst xmlns="http://schemas.openxmlformats.org/spreadsheetml/2006/main" count="471" uniqueCount="96">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</sst>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18" fontId="1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Job Posting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Data!$AB$2:$AB$25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Data!$AC$2:$AC$25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8-4F97-BF4E-A2BD52AAD0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97340127"/>
        <c:axId val="1997322655"/>
      </c:barChart>
      <c:catAx>
        <c:axId val="19973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22655"/>
        <c:crosses val="autoZero"/>
        <c:auto val="1"/>
        <c:lblAlgn val="ctr"/>
        <c:lblOffset val="100"/>
        <c:noMultiLvlLbl val="0"/>
      </c:catAx>
      <c:valAx>
        <c:axId val="199732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734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95250</xdr:colOff>
      <xdr:row>3</xdr:row>
      <xdr:rowOff>147637</xdr:rowOff>
    </xdr:from>
    <xdr:to>
      <xdr:col>36</xdr:col>
      <xdr:colOff>400050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F9AAB-5574-4E34-B50B-ADBEF18D1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C26"/>
  <sheetViews>
    <sheetView tabSelected="1" workbookViewId="0">
      <selection activeCell="A17" sqref="A17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customWidth="1"/>
    <col min="14" max="14" width="15.85546875" bestFit="1" customWidth="1"/>
    <col min="15" max="15" width="8.85546875" customWidth="1"/>
    <col min="16" max="16" width="9.7109375" bestFit="1" customWidth="1"/>
    <col min="17" max="17" width="8.85546875" customWidth="1"/>
    <col min="18" max="18" width="18" bestFit="1" customWidth="1"/>
    <col min="19" max="23" width="8.85546875" customWidth="1"/>
    <col min="24" max="25" width="14.42578125" customWidth="1"/>
    <col min="26" max="26" width="8.85546875" customWidth="1"/>
    <col min="27" max="27" width="0" style="19" hidden="1" customWidth="1"/>
    <col min="28" max="28" width="13.5703125" bestFit="1" customWidth="1"/>
  </cols>
  <sheetData>
    <row r="1" spans="1:29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8">
        <f>TIME(T2,U2,V2)</f>
        <v>0.64045138888888886</v>
      </c>
      <c r="AB1" s="16" t="s">
        <v>93</v>
      </c>
    </row>
    <row r="2" spans="1:29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46223</v>
      </c>
      <c r="R2" s="9"/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HOUR(Y2:Y21)</f>
        <v>15</v>
      </c>
      <c r="AA2" s="18">
        <f t="shared" ref="AA2:AA21" si="0">TIME(T3,U3,V3)</f>
        <v>0.40662037037037035</v>
      </c>
      <c r="AB2" cm="1">
        <f t="array" ref="AB2:AB25">_xlfn.SEQUENCE(24,,1)</f>
        <v>1</v>
      </c>
      <c r="AC2">
        <f>COUNTIF(_xlfn.ANCHORARRAY($Z$2),AB2)</f>
        <v>0</v>
      </c>
    </row>
    <row r="3" spans="1:29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1">MONTH(D3)</f>
        <v>5</v>
      </c>
      <c r="K3">
        <f t="shared" ref="K3:K21" si="2">DAY(D3)</f>
        <v>9</v>
      </c>
      <c r="L3">
        <f t="shared" ref="L3:L21" si="3">YEAR(D3)</f>
        <v>2023</v>
      </c>
      <c r="N3" s="9">
        <f t="shared" ref="N3:N21" si="4">DATE(L3,J3,K3)</f>
        <v>45055</v>
      </c>
      <c r="T3">
        <f t="shared" ref="T3:T22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 s="18">
        <f t="shared" si="0"/>
        <v>0.72971064814814823</v>
      </c>
      <c r="AB3">
        <v>2</v>
      </c>
      <c r="AC3">
        <f t="shared" ref="AC3:AC26" si="10">COUNTIF(_xlfn.ANCHORARRAY($Z$2),AB3)</f>
        <v>0</v>
      </c>
    </row>
    <row r="4" spans="1:29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1"/>
        <v>7</v>
      </c>
      <c r="K4">
        <f t="shared" si="2"/>
        <v>21</v>
      </c>
      <c r="L4">
        <f t="shared" si="3"/>
        <v>2023</v>
      </c>
      <c r="N4" s="9">
        <f t="shared" si="4"/>
        <v>45128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0.72971064814814823</v>
      </c>
      <c r="Y4" t="str">
        <f t="shared" si="9"/>
        <v>05:30 PM</v>
      </c>
      <c r="Z4">
        <v>17</v>
      </c>
      <c r="AA4" s="18">
        <f t="shared" si="0"/>
        <v>0.3021875</v>
      </c>
      <c r="AB4">
        <v>3</v>
      </c>
      <c r="AC4">
        <f t="shared" si="10"/>
        <v>0</v>
      </c>
    </row>
    <row r="5" spans="1:29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1"/>
        <v>9</v>
      </c>
      <c r="K5">
        <f t="shared" si="2"/>
        <v>4</v>
      </c>
      <c r="L5">
        <f t="shared" si="3"/>
        <v>2023</v>
      </c>
      <c r="N5" s="9">
        <f t="shared" si="4"/>
        <v>45173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 s="18">
        <f t="shared" si="0"/>
        <v>0.70857638888888885</v>
      </c>
      <c r="AB5">
        <v>4</v>
      </c>
      <c r="AC5">
        <f>COUNTIF(_xlfn.ANCHORARRAY($Z$2),AB5)</f>
        <v>0</v>
      </c>
    </row>
    <row r="6" spans="1:29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1"/>
        <v>11</v>
      </c>
      <c r="K6">
        <f t="shared" si="2"/>
        <v>18</v>
      </c>
      <c r="L6">
        <f t="shared" si="3"/>
        <v>2023</v>
      </c>
      <c r="N6" s="9">
        <f t="shared" si="4"/>
        <v>45248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 s="18">
        <f t="shared" si="0"/>
        <v>0.53192129629629636</v>
      </c>
      <c r="AB6">
        <v>5</v>
      </c>
      <c r="AC6">
        <f t="shared" si="10"/>
        <v>0</v>
      </c>
    </row>
    <row r="7" spans="1:29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1"/>
        <v>1</v>
      </c>
      <c r="K7">
        <f t="shared" si="2"/>
        <v>11</v>
      </c>
      <c r="L7">
        <f t="shared" si="3"/>
        <v>2024</v>
      </c>
      <c r="N7" s="9">
        <f t="shared" si="4"/>
        <v>45302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0.53192129629629636</v>
      </c>
      <c r="Y7" t="str">
        <f t="shared" si="9"/>
        <v>12:45 PM</v>
      </c>
      <c r="Z7">
        <v>12</v>
      </c>
      <c r="AA7" s="18">
        <f t="shared" si="0"/>
        <v>0.68788194444444439</v>
      </c>
      <c r="AB7">
        <v>6</v>
      </c>
      <c r="AC7">
        <f t="shared" si="10"/>
        <v>1</v>
      </c>
    </row>
    <row r="8" spans="1:29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1"/>
        <v>3</v>
      </c>
      <c r="K8">
        <f t="shared" si="2"/>
        <v>3</v>
      </c>
      <c r="L8">
        <f t="shared" si="3"/>
        <v>2024</v>
      </c>
      <c r="N8" s="9">
        <f t="shared" si="4"/>
        <v>45354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 s="18">
        <f t="shared" si="0"/>
        <v>0.34081018518518519</v>
      </c>
      <c r="AB8">
        <v>7</v>
      </c>
      <c r="AC8">
        <f t="shared" si="10"/>
        <v>3</v>
      </c>
    </row>
    <row r="9" spans="1:29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1"/>
        <v>4</v>
      </c>
      <c r="K9">
        <f t="shared" si="2"/>
        <v>26</v>
      </c>
      <c r="L9">
        <f t="shared" si="3"/>
        <v>2024</v>
      </c>
      <c r="N9" s="9">
        <f t="shared" si="4"/>
        <v>45408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 s="18">
        <f t="shared" si="0"/>
        <v>0.74333333333333329</v>
      </c>
      <c r="AB9">
        <v>8</v>
      </c>
      <c r="AC9">
        <f t="shared" si="10"/>
        <v>1</v>
      </c>
    </row>
    <row r="10" spans="1:29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1"/>
        <v>6</v>
      </c>
      <c r="K10">
        <f t="shared" si="2"/>
        <v>15</v>
      </c>
      <c r="L10">
        <f t="shared" si="3"/>
        <v>2024</v>
      </c>
      <c r="N10" s="9">
        <f t="shared" si="4"/>
        <v>45458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 s="18">
        <f t="shared" si="0"/>
        <v>0.60805555555555557</v>
      </c>
      <c r="AB10">
        <v>9</v>
      </c>
      <c r="AC10">
        <f t="shared" si="10"/>
        <v>1</v>
      </c>
    </row>
    <row r="11" spans="1:29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1"/>
        <v>7</v>
      </c>
      <c r="K11">
        <f t="shared" si="2"/>
        <v>7</v>
      </c>
      <c r="L11">
        <f t="shared" si="3"/>
        <v>2024</v>
      </c>
      <c r="N11" s="9">
        <f t="shared" si="4"/>
        <v>45480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 s="18">
        <f t="shared" si="0"/>
        <v>0.28493055555555552</v>
      </c>
      <c r="AB11">
        <v>10</v>
      </c>
      <c r="AC11">
        <f t="shared" si="10"/>
        <v>1</v>
      </c>
    </row>
    <row r="12" spans="1:29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1"/>
        <v>6</v>
      </c>
      <c r="K12">
        <f t="shared" si="2"/>
        <v>12</v>
      </c>
      <c r="L12">
        <f t="shared" si="3"/>
        <v>2024</v>
      </c>
      <c r="N12" s="9">
        <f t="shared" si="4"/>
        <v>45455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0.28493055555555552</v>
      </c>
      <c r="Y12" t="str">
        <f t="shared" si="9"/>
        <v>06:50 AM</v>
      </c>
      <c r="Z12">
        <v>6</v>
      </c>
      <c r="AA12" s="18">
        <f t="shared" si="0"/>
        <v>0.55214120370370368</v>
      </c>
      <c r="AB12">
        <v>11</v>
      </c>
      <c r="AC12">
        <f t="shared" si="10"/>
        <v>1</v>
      </c>
    </row>
    <row r="13" spans="1:29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1"/>
        <v>1</v>
      </c>
      <c r="K13">
        <f t="shared" si="2"/>
        <v>25</v>
      </c>
      <c r="L13">
        <f t="shared" si="3"/>
        <v>2023</v>
      </c>
      <c r="N13" s="9">
        <f t="shared" si="4"/>
        <v>44951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 s="18">
        <f t="shared" si="0"/>
        <v>0.49003472222222227</v>
      </c>
      <c r="AB13">
        <v>12</v>
      </c>
      <c r="AC13">
        <f t="shared" si="10"/>
        <v>1</v>
      </c>
    </row>
    <row r="14" spans="1:29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1"/>
        <v>3</v>
      </c>
      <c r="K14">
        <f t="shared" si="2"/>
        <v>17</v>
      </c>
      <c r="L14">
        <f t="shared" si="3"/>
        <v>2023</v>
      </c>
      <c r="N14" s="9">
        <f t="shared" si="4"/>
        <v>45002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0.49003472222222227</v>
      </c>
      <c r="Y14" t="str">
        <f t="shared" si="9"/>
        <v>11:45 AM</v>
      </c>
      <c r="Z14">
        <v>11</v>
      </c>
      <c r="AA14" s="18">
        <f t="shared" si="0"/>
        <v>0.41725694444444444</v>
      </c>
      <c r="AB14">
        <v>13</v>
      </c>
      <c r="AC14">
        <f t="shared" si="10"/>
        <v>1</v>
      </c>
    </row>
    <row r="15" spans="1:29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1"/>
        <v>6</v>
      </c>
      <c r="K15">
        <f t="shared" si="2"/>
        <v>1</v>
      </c>
      <c r="L15">
        <f t="shared" si="3"/>
        <v>2023</v>
      </c>
      <c r="N15" s="9">
        <f t="shared" si="4"/>
        <v>45078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 s="18">
        <f t="shared" si="0"/>
        <v>0.72932870370370362</v>
      </c>
      <c r="AB15">
        <v>14</v>
      </c>
      <c r="AC15">
        <f t="shared" si="10"/>
        <v>1</v>
      </c>
    </row>
    <row r="16" spans="1:29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1"/>
        <v>8</v>
      </c>
      <c r="K16">
        <f t="shared" si="2"/>
        <v>30</v>
      </c>
      <c r="L16">
        <f t="shared" si="3"/>
        <v>2023</v>
      </c>
      <c r="N16" s="9">
        <f t="shared" si="4"/>
        <v>45168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0.72932870370370362</v>
      </c>
      <c r="Y16" t="str">
        <f t="shared" si="9"/>
        <v>05:30 PM</v>
      </c>
      <c r="Z16">
        <v>17</v>
      </c>
      <c r="AA16" s="18">
        <f t="shared" si="0"/>
        <v>0.3197800925925926</v>
      </c>
      <c r="AB16">
        <v>15</v>
      </c>
      <c r="AC16">
        <f t="shared" si="10"/>
        <v>1</v>
      </c>
    </row>
    <row r="17" spans="1:29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1"/>
        <v>10</v>
      </c>
      <c r="K17">
        <f t="shared" si="2"/>
        <v>19</v>
      </c>
      <c r="L17">
        <f t="shared" si="3"/>
        <v>2023</v>
      </c>
      <c r="N17" s="9">
        <f t="shared" si="4"/>
        <v>45218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 s="18">
        <f t="shared" si="0"/>
        <v>0.71923611111111108</v>
      </c>
      <c r="AB17">
        <v>16</v>
      </c>
      <c r="AC17">
        <f t="shared" si="10"/>
        <v>1</v>
      </c>
    </row>
    <row r="18" spans="1:29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1"/>
        <v>2</v>
      </c>
      <c r="K18">
        <f t="shared" si="2"/>
        <v>28</v>
      </c>
      <c r="L18">
        <f t="shared" si="3"/>
        <v>2024</v>
      </c>
      <c r="N18" s="9">
        <f t="shared" si="4"/>
        <v>45350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 s="18">
        <f t="shared" si="0"/>
        <v>0.72635416666666675</v>
      </c>
      <c r="AB18">
        <v>17</v>
      </c>
      <c r="AC18">
        <f t="shared" si="10"/>
        <v>7</v>
      </c>
    </row>
    <row r="19" spans="1:29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1"/>
        <v>5</v>
      </c>
      <c r="K19">
        <f t="shared" si="2"/>
        <v>6</v>
      </c>
      <c r="L19">
        <f t="shared" si="3"/>
        <v>2024</v>
      </c>
      <c r="N19" s="9">
        <f t="shared" si="4"/>
        <v>45418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0.72635416666666675</v>
      </c>
      <c r="Y19" t="str">
        <f t="shared" si="9"/>
        <v>05:25 PM</v>
      </c>
      <c r="Z19">
        <v>17</v>
      </c>
      <c r="AA19" s="18">
        <f t="shared" si="0"/>
        <v>0.29170138888888891</v>
      </c>
      <c r="AB19">
        <v>18</v>
      </c>
      <c r="AC19">
        <f t="shared" si="10"/>
        <v>0</v>
      </c>
    </row>
    <row r="20" spans="1:29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1"/>
        <v>7</v>
      </c>
      <c r="K20">
        <f t="shared" si="2"/>
        <v>23</v>
      </c>
      <c r="L20">
        <f t="shared" si="3"/>
        <v>2024</v>
      </c>
      <c r="N20" s="9">
        <f t="shared" si="4"/>
        <v>45496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 s="18">
        <f t="shared" si="0"/>
        <v>0.73988425925925927</v>
      </c>
      <c r="AB20">
        <v>19</v>
      </c>
      <c r="AC20">
        <f t="shared" si="10"/>
        <v>0</v>
      </c>
    </row>
    <row r="21" spans="1:29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1"/>
        <v>5</v>
      </c>
      <c r="K21">
        <f t="shared" si="2"/>
        <v>10</v>
      </c>
      <c r="L21">
        <f t="shared" si="3"/>
        <v>2024</v>
      </c>
      <c r="N21" s="9">
        <f t="shared" si="4"/>
        <v>45422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 s="18"/>
      <c r="AB21">
        <v>20</v>
      </c>
      <c r="AC21">
        <f t="shared" si="10"/>
        <v>0</v>
      </c>
    </row>
    <row r="22" spans="1:29" x14ac:dyDescent="0.25">
      <c r="T22">
        <f t="shared" si="5"/>
        <v>0</v>
      </c>
      <c r="AB22">
        <v>21</v>
      </c>
      <c r="AC22">
        <f t="shared" si="10"/>
        <v>0</v>
      </c>
    </row>
    <row r="23" spans="1:29" x14ac:dyDescent="0.25">
      <c r="AB23">
        <v>22</v>
      </c>
      <c r="AC23">
        <f t="shared" si="10"/>
        <v>0</v>
      </c>
    </row>
    <row r="24" spans="1:29" x14ac:dyDescent="0.25">
      <c r="AB24">
        <v>23</v>
      </c>
      <c r="AC24">
        <f t="shared" si="10"/>
        <v>0</v>
      </c>
    </row>
    <row r="25" spans="1:29" x14ac:dyDescent="0.25">
      <c r="AB25">
        <v>24</v>
      </c>
      <c r="AC25">
        <f t="shared" si="10"/>
        <v>0</v>
      </c>
    </row>
    <row r="26" spans="1:29" x14ac:dyDescent="0.25">
      <c r="AC26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46223</v>
      </c>
      <c r="R2">
        <f ca="1">DATEDIF(D2,$P$2,"D")</f>
        <v>1252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1168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1095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1050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975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921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869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815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765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743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768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1272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1221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1145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1055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1005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873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805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727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HP</cp:lastModifiedBy>
  <dcterms:created xsi:type="dcterms:W3CDTF">2015-06-05T18:17:20Z</dcterms:created>
  <dcterms:modified xsi:type="dcterms:W3CDTF">2026-07-21T02:43:52Z</dcterms:modified>
</cp:coreProperties>
</file>