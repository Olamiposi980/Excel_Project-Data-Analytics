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HP\Documents\"/>
    </mc:Choice>
  </mc:AlternateContent>
  <xr:revisionPtr revIDLastSave="0" documentId="8_{DB4B7BA5-7B38-4A5D-A845-D2C78F37257A}" xr6:coauthVersionLast="47" xr6:coauthVersionMax="47" xr10:uidLastSave="{00000000-0000-0000-0000-000000000000}"/>
  <bookViews>
    <workbookView xWindow="-120" yWindow="-120" windowWidth="19440" windowHeight="11520"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8" l="1"/>
  <c r="K13" i="8"/>
  <c r="O13" i="8"/>
  <c r="O3" i="8"/>
  <c r="O4" i="8"/>
  <c r="O5" i="8"/>
  <c r="O6" i="8"/>
  <c r="O7" i="8"/>
  <c r="O8" i="8"/>
  <c r="O9" i="8"/>
  <c r="O10" i="8"/>
  <c r="O11" i="8"/>
  <c r="O12" i="8"/>
  <c r="O14" i="8"/>
  <c r="O15" i="8"/>
  <c r="O16" i="8"/>
  <c r="O17" i="8"/>
  <c r="O18" i="8"/>
  <c r="O19" i="8"/>
  <c r="O20" i="8"/>
  <c r="O21" i="8"/>
  <c r="O2" i="8"/>
  <c r="J3" i="8"/>
  <c r="J4" i="8"/>
  <c r="J5" i="8"/>
  <c r="J6" i="8"/>
  <c r="J7" i="8"/>
  <c r="J8" i="8"/>
  <c r="J9" i="8"/>
  <c r="J10" i="8"/>
  <c r="J11" i="8"/>
  <c r="J12" i="8"/>
  <c r="J13" i="8"/>
  <c r="J14" i="8"/>
  <c r="J15" i="8"/>
  <c r="J16" i="8"/>
  <c r="J17" i="8"/>
  <c r="J18" i="8"/>
  <c r="J19" i="8"/>
  <c r="J20" i="8"/>
  <c r="J21" i="8"/>
  <c r="J2" i="8"/>
  <c r="B10" i="12"/>
  <c r="B11" i="12"/>
  <c r="B12" i="12"/>
  <c r="B13" i="12"/>
  <c r="B14" i="12"/>
  <c r="B15" i="12"/>
  <c r="B16" i="12"/>
  <c r="B17" i="12"/>
  <c r="B18" i="12"/>
  <c r="B19" i="12"/>
  <c r="B20" i="12"/>
  <c r="B21" i="12"/>
  <c r="B22" i="12"/>
  <c r="B23" i="12"/>
  <c r="B24" i="12"/>
  <c r="B25" i="12"/>
  <c r="B9" i="12"/>
  <c r="A9" i="12" a="1"/>
  <c r="A9" i="12" s="1"/>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<sst xmlns="http://schemas.openxmlformats.org/spreadsheetml/2006/main" count="610" uniqueCount="96">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</sst>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topLeftCell="D1" zoomScale="110" zoomScaleNormal="110" workbookViewId="0">
      <selection activeCell="T3" sqref="T3"/>
    </sheetView>
  </sheetViews>
  <sheetFormatPr defaultRowHeight="15" x14ac:dyDescent="0.25"/>
  <cols>
    <col min="1" max="1" width="17.5703125" customWidth="1"/>
    <col min="2" max="2" width="14.28515625" customWidth="1"/>
    <col min="3" max="3" width="27.28515625" customWidth="1"/>
    <col min="4" max="4" width="17.5703125" style="9" customWidth="1"/>
    <col min="5" max="5" width="26.28515625" customWidth="1"/>
    <col min="6" max="6" width="11" customWidth="1"/>
    <col min="7" max="7" width="22" customWidth="1"/>
    <col min="8" max="8" width="40" hidden="1" customWidth="1"/>
    <col min="9" max="9" width="8.85546875" hidden="1" customWidth="1"/>
    <col min="10" max="10" width="34.7109375" hidden="1" customWidth="1"/>
    <col min="11" max="11" width="8.85546875" hidden="1" customWidth="1"/>
    <col min="12" max="12" width="13.28515625" hidden="1" customWidth="1"/>
    <col min="13" max="13" width="15.42578125" hidden="1" customWidth="1"/>
    <col min="14" max="14" width="8.85546875" hidden="1" customWidth="1"/>
    <col min="15" max="15" width="16.42578125" customWidth="1"/>
    <col min="17" max="19" width="0" hidden="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_xlfn.TEXTJOIN("",TRUE,F2,G2)</f>
        <v>457 Oak StSan Jose, CA, 95101</v>
      </c>
      <c r="O2" t="str">
        <f>RIGHT(A2,3)</f>
        <v>548</v>
      </c>
      <c r="Q2">
        <f>FIND(",", G2)+LEN(", ")</f>
        <v>11</v>
      </c>
      <c r="R2">
        <f>FIND(",",G2,Q2)</f>
        <v>13</v>
      </c>
      <c r="S2" t="str">
        <f>MID(G2,Q2,R2-Q2)</f>
        <v>CA</v>
      </c>
      <c r="T2">
        <f>FIND(",",G2)</f>
        <v>9</v>
      </c>
    </row>
    <row r="3" spans="1:22" x14ac:dyDescent="0.25">
      <c r="A3" s="5" t="s">
        <v>71</v>
      </c>
      <c r="B3" s="1" t="s">
        <v>38</v>
      </c>
      <c r="C3" s="1" t="s">
        <v>5</v>
      </c>
      <c r="D3" s="11">
        <v>45055.40662037037</v>
      </c>
      <c r="E3" s="1" t="s">
        <v>39</v>
      </c>
      <c r="F3" s="1" t="s">
        <v>25</v>
      </c>
      <c r="G3" s="1" t="s">
        <v>26</v>
      </c>
      <c r="H3" s="6" t="s">
        <v>14</v>
      </c>
      <c r="J3" t="str">
        <f t="shared" ref="J3:J21" si="0">_xlfn.TEXTJOIN("",TRUE,F3,G3)</f>
        <v>203 Birch StChicago, IL, 60601</v>
      </c>
      <c r="O3" t="str">
        <f t="shared" ref="O3:O21" si="1">RIGHT(A3,3)</f>
        <v>549</v>
      </c>
      <c r="Q3">
        <f t="shared" ref="Q3:Q21" si="2">FIND(",", G3)+LEN(", ")</f>
        <v>10</v>
      </c>
      <c r="R3">
        <f t="shared" ref="R3:R21" si="3">FIND(",",G3,Q3)</f>
        <v>12</v>
      </c>
      <c r="S3" t="str">
        <f t="shared" ref="S3:S21" si="4">MID(G3,Q3,R3-Q3)</f>
        <v>IL</v>
      </c>
      <c r="T3" t="s">
        <v>95</v>
      </c>
    </row>
    <row r="4" spans="1:22" x14ac:dyDescent="0.25">
      <c r="A4" s="5" t="s">
        <v>73</v>
      </c>
      <c r="B4" s="1" t="s">
        <v>58</v>
      </c>
      <c r="C4" s="1" t="s">
        <v>12</v>
      </c>
      <c r="D4" s="11">
        <v>45128.729710648149</v>
      </c>
      <c r="E4" s="1" t="s">
        <v>59</v>
      </c>
      <c r="F4" s="1" t="s">
        <v>27</v>
      </c>
      <c r="G4" s="1" t="s">
        <v>26</v>
      </c>
      <c r="H4" s="6" t="s">
        <v>6</v>
      </c>
      <c r="J4" t="str">
        <f t="shared" si="0"/>
        <v>790 Pine StChicago, IL, 60601</v>
      </c>
      <c r="O4" t="str">
        <f t="shared" si="1"/>
        <v>550</v>
      </c>
      <c r="Q4">
        <f t="shared" si="2"/>
        <v>10</v>
      </c>
      <c r="R4">
        <f t="shared" si="3"/>
        <v>12</v>
      </c>
      <c r="S4" t="str">
        <f t="shared" si="4"/>
        <v>IL</v>
      </c>
    </row>
    <row r="5" spans="1:22" x14ac:dyDescent="0.25">
      <c r="A5" s="5" t="s">
        <v>74</v>
      </c>
      <c r="B5" s="1" t="s">
        <v>42</v>
      </c>
      <c r="C5" s="1" t="s">
        <v>5</v>
      </c>
      <c r="D5" s="11">
        <v>45173.302187499998</v>
      </c>
      <c r="E5" s="1" t="s">
        <v>43</v>
      </c>
      <c r="F5" s="1" t="s">
        <v>23</v>
      </c>
      <c r="G5" s="1" t="s">
        <v>24</v>
      </c>
      <c r="H5" s="6" t="s">
        <v>11</v>
      </c>
      <c r="J5" t="str">
        <f t="shared" si="0"/>
        <v>457 Oak StSan Jose, CA, 95101</v>
      </c>
      <c r="O5" t="str">
        <f t="shared" si="1"/>
        <v>551</v>
      </c>
      <c r="Q5">
        <f t="shared" si="2"/>
        <v>11</v>
      </c>
      <c r="R5">
        <f t="shared" si="3"/>
        <v>13</v>
      </c>
      <c r="S5" t="str">
        <f t="shared" si="4"/>
        <v>CA</v>
      </c>
    </row>
    <row r="6" spans="1:22" x14ac:dyDescent="0.25">
      <c r="A6" s="5" t="s">
        <v>75</v>
      </c>
      <c r="B6" s="1" t="s">
        <v>40</v>
      </c>
      <c r="C6" s="1" t="s">
        <v>7</v>
      </c>
      <c r="D6" s="11">
        <v>45248.70857638889</v>
      </c>
      <c r="E6" s="1" t="s">
        <v>41</v>
      </c>
      <c r="F6" s="1" t="s">
        <v>29</v>
      </c>
      <c r="G6" s="1" t="s">
        <v>30</v>
      </c>
      <c r="H6" s="6" t="s">
        <v>10</v>
      </c>
      <c r="J6" t="str">
        <f t="shared" si="0"/>
        <v>459 Oak StPhiladelphia, PA, 19101</v>
      </c>
      <c r="O6" t="str">
        <f t="shared" si="1"/>
        <v>552</v>
      </c>
      <c r="Q6">
        <f t="shared" si="2"/>
        <v>15</v>
      </c>
      <c r="R6">
        <f t="shared" si="3"/>
        <v>17</v>
      </c>
      <c r="S6" t="str">
        <f t="shared" si="4"/>
        <v>PA</v>
      </c>
    </row>
    <row r="7" spans="1:22" x14ac:dyDescent="0.25">
      <c r="A7" s="5" t="s">
        <v>76</v>
      </c>
      <c r="B7" s="1" t="s">
        <v>46</v>
      </c>
      <c r="C7" s="1" t="s">
        <v>9</v>
      </c>
      <c r="D7" s="11">
        <v>45302.531921296293</v>
      </c>
      <c r="E7" s="1" t="s">
        <v>47</v>
      </c>
      <c r="F7" s="1" t="s">
        <v>31</v>
      </c>
      <c r="G7" s="1" t="s">
        <v>30</v>
      </c>
      <c r="H7" s="6" t="s">
        <v>15</v>
      </c>
      <c r="J7" t="str">
        <f t="shared" si="0"/>
        <v>204 Birch StPhiladelphia, PA, 19101</v>
      </c>
      <c r="O7" t="str">
        <f t="shared" si="1"/>
        <v>553</v>
      </c>
      <c r="Q7">
        <f t="shared" si="2"/>
        <v>15</v>
      </c>
      <c r="R7">
        <f t="shared" si="3"/>
        <v>17</v>
      </c>
      <c r="S7" t="str">
        <f t="shared" si="4"/>
        <v>PA</v>
      </c>
    </row>
    <row r="8" spans="1:22" x14ac:dyDescent="0.25">
      <c r="A8" s="5" t="s">
        <v>77</v>
      </c>
      <c r="B8" s="1" t="s">
        <v>58</v>
      </c>
      <c r="C8" s="1" t="s">
        <v>5</v>
      </c>
      <c r="D8" s="11">
        <v>45354.687881944446</v>
      </c>
      <c r="E8" s="1" t="s">
        <v>59</v>
      </c>
      <c r="F8" s="1" t="s">
        <v>27</v>
      </c>
      <c r="G8" s="1" t="s">
        <v>26</v>
      </c>
      <c r="H8" s="6" t="s">
        <v>6</v>
      </c>
      <c r="J8" t="str">
        <f t="shared" si="0"/>
        <v>790 Pine StChicago, IL, 60601</v>
      </c>
      <c r="O8" t="str">
        <f t="shared" si="1"/>
        <v>554</v>
      </c>
      <c r="Q8">
        <f t="shared" si="2"/>
        <v>10</v>
      </c>
      <c r="R8">
        <f t="shared" si="3"/>
        <v>12</v>
      </c>
      <c r="S8" t="str">
        <f t="shared" si="4"/>
        <v>IL</v>
      </c>
    </row>
    <row r="9" spans="1:22" x14ac:dyDescent="0.25">
      <c r="A9" s="5" t="s">
        <v>78</v>
      </c>
      <c r="B9" s="1" t="s">
        <v>46</v>
      </c>
      <c r="C9" s="1" t="s">
        <v>1</v>
      </c>
      <c r="D9" s="11">
        <v>45408.340810185182</v>
      </c>
      <c r="E9" s="1" t="s">
        <v>47</v>
      </c>
      <c r="F9" s="1" t="s">
        <v>31</v>
      </c>
      <c r="G9" s="1" t="s">
        <v>30</v>
      </c>
      <c r="H9" s="6" t="s">
        <v>15</v>
      </c>
      <c r="J9" t="str">
        <f t="shared" si="0"/>
        <v>204 Birch StPhiladelphia, PA, 19101</v>
      </c>
      <c r="O9" t="str">
        <f t="shared" si="1"/>
        <v>555</v>
      </c>
      <c r="Q9">
        <f t="shared" si="2"/>
        <v>15</v>
      </c>
      <c r="R9">
        <f t="shared" si="3"/>
        <v>17</v>
      </c>
      <c r="S9" t="str">
        <f t="shared" si="4"/>
        <v>PA</v>
      </c>
    </row>
    <row r="10" spans="1:22" x14ac:dyDescent="0.25">
      <c r="A10" s="5" t="s">
        <v>79</v>
      </c>
      <c r="B10" s="1" t="s">
        <v>50</v>
      </c>
      <c r="C10" s="1" t="s">
        <v>7</v>
      </c>
      <c r="D10" s="11">
        <v>45458.743333333332</v>
      </c>
      <c r="E10" s="1" t="s">
        <v>51</v>
      </c>
      <c r="F10" s="1" t="s">
        <v>33</v>
      </c>
      <c r="G10" s="1" t="s">
        <v>26</v>
      </c>
      <c r="H10" s="6" t="s">
        <v>18</v>
      </c>
      <c r="J10" t="str">
        <f t="shared" si="0"/>
        <v>123 Elm StChicago, IL, 60601</v>
      </c>
      <c r="O10" t="str">
        <f t="shared" si="1"/>
        <v>556</v>
      </c>
      <c r="Q10">
        <f t="shared" si="2"/>
        <v>10</v>
      </c>
      <c r="R10">
        <f t="shared" si="3"/>
        <v>12</v>
      </c>
      <c r="S10" t="str">
        <f t="shared" si="4"/>
        <v>IL</v>
      </c>
    </row>
    <row r="11" spans="1:22" x14ac:dyDescent="0.25">
      <c r="A11" s="5" t="s">
        <v>80</v>
      </c>
      <c r="B11" s="1" t="s">
        <v>54</v>
      </c>
      <c r="C11" s="1" t="s">
        <v>12</v>
      </c>
      <c r="D11" s="11">
        <v>45480.608055555553</v>
      </c>
      <c r="E11" s="1" t="s">
        <v>55</v>
      </c>
      <c r="F11" s="1" t="s">
        <v>33</v>
      </c>
      <c r="G11" s="1" t="s">
        <v>32</v>
      </c>
      <c r="H11" s="6" t="s">
        <v>13</v>
      </c>
      <c r="J11" t="str">
        <f t="shared" si="0"/>
        <v>123 Elm StLos Angeles, CA, 90001</v>
      </c>
      <c r="O11" t="str">
        <f t="shared" si="1"/>
        <v>557</v>
      </c>
      <c r="Q11">
        <f t="shared" si="2"/>
        <v>14</v>
      </c>
      <c r="R11">
        <f t="shared" si="3"/>
        <v>16</v>
      </c>
      <c r="S11" t="str">
        <f t="shared" si="4"/>
        <v>CA</v>
      </c>
    </row>
    <row r="12" spans="1:22" x14ac:dyDescent="0.25">
      <c r="A12" s="5" t="s">
        <v>81</v>
      </c>
      <c r="B12" s="1" t="s">
        <v>44</v>
      </c>
      <c r="C12" s="1" t="s">
        <v>7</v>
      </c>
      <c r="D12" s="11">
        <v>45455.284930555557</v>
      </c>
      <c r="E12" s="1" t="s">
        <v>45</v>
      </c>
      <c r="F12" s="1" t="s">
        <v>33</v>
      </c>
      <c r="G12" s="1" t="s">
        <v>34</v>
      </c>
      <c r="H12" s="6" t="s">
        <v>17</v>
      </c>
      <c r="J12" t="str">
        <f t="shared" si="0"/>
        <v>123 Elm StSan Diego, CA, 92101</v>
      </c>
      <c r="O12" t="str">
        <f t="shared" si="1"/>
        <v>558</v>
      </c>
      <c r="Q12">
        <f t="shared" si="2"/>
        <v>12</v>
      </c>
      <c r="R12">
        <f t="shared" si="3"/>
        <v>14</v>
      </c>
      <c r="S12" t="str">
        <f t="shared" si="4"/>
        <v>CA</v>
      </c>
    </row>
    <row r="13" spans="1:22" x14ac:dyDescent="0.25">
      <c r="A13" s="5" t="s">
        <v>82</v>
      </c>
      <c r="B13" s="1" t="s">
        <v>56</v>
      </c>
      <c r="C13" s="1" t="s">
        <v>9</v>
      </c>
      <c r="D13" s="11">
        <v>44951.552141203705</v>
      </c>
      <c r="E13" s="1" t="s">
        <v>57</v>
      </c>
      <c r="F13" s="1" t="s">
        <v>35</v>
      </c>
      <c r="G13" s="1" t="s">
        <v>26</v>
      </c>
      <c r="H13" s="6" t="s">
        <v>16</v>
      </c>
      <c r="J13" t="str">
        <f t="shared" si="0"/>
        <v>202 Birch StChicago, IL, 60601</v>
      </c>
      <c r="K13" t="str">
        <f>LEFT(A13,3)</f>
        <v>AID</v>
      </c>
      <c r="O13" t="str">
        <f>RIGHT(A13,3)</f>
        <v>559</v>
      </c>
      <c r="Q13">
        <f t="shared" si="2"/>
        <v>10</v>
      </c>
      <c r="R13">
        <f t="shared" si="3"/>
        <v>12</v>
      </c>
      <c r="S13" t="str">
        <f t="shared" si="4"/>
        <v>IL</v>
      </c>
    </row>
    <row r="14" spans="1:22" x14ac:dyDescent="0.25">
      <c r="A14" s="5" t="s">
        <v>83</v>
      </c>
      <c r="B14" s="1" t="s">
        <v>46</v>
      </c>
      <c r="C14" s="1" t="s">
        <v>12</v>
      </c>
      <c r="D14" s="11">
        <v>45002.490034722221</v>
      </c>
      <c r="E14" s="1" t="s">
        <v>47</v>
      </c>
      <c r="F14" s="1" t="s">
        <v>31</v>
      </c>
      <c r="G14" s="1" t="s">
        <v>30</v>
      </c>
      <c r="H14" s="6" t="s">
        <v>15</v>
      </c>
      <c r="J14" t="str">
        <f t="shared" si="0"/>
        <v>204 Birch StPhiladelphia, PA, 19101</v>
      </c>
      <c r="O14" t="str">
        <f t="shared" si="1"/>
        <v>560</v>
      </c>
      <c r="Q14">
        <f t="shared" si="2"/>
        <v>15</v>
      </c>
      <c r="R14">
        <f t="shared" si="3"/>
        <v>17</v>
      </c>
      <c r="S14" t="str">
        <f t="shared" si="4"/>
        <v>PA</v>
      </c>
    </row>
    <row r="15" spans="1:22" x14ac:dyDescent="0.25">
      <c r="A15" s="5" t="s">
        <v>84</v>
      </c>
      <c r="B15" s="1" t="s">
        <v>52</v>
      </c>
      <c r="C15" s="1" t="s">
        <v>9</v>
      </c>
      <c r="D15" s="11">
        <v>45078.417256944442</v>
      </c>
      <c r="E15" s="1" t="s">
        <v>53</v>
      </c>
      <c r="F15" s="1" t="s">
        <v>33</v>
      </c>
      <c r="G15" s="1" t="s">
        <v>26</v>
      </c>
      <c r="H15" s="6" t="s">
        <v>19</v>
      </c>
      <c r="J15" t="str">
        <f t="shared" si="0"/>
        <v>123 Elm StChicago, IL, 60601</v>
      </c>
      <c r="O15" t="str">
        <f t="shared" si="1"/>
        <v>561</v>
      </c>
      <c r="Q15">
        <f t="shared" si="2"/>
        <v>10</v>
      </c>
      <c r="R15">
        <f t="shared" si="3"/>
        <v>12</v>
      </c>
      <c r="S15" t="str">
        <f t="shared" si="4"/>
        <v>IL</v>
      </c>
    </row>
    <row r="16" spans="1:22" x14ac:dyDescent="0.25">
      <c r="A16" s="5" t="s">
        <v>85</v>
      </c>
      <c r="B16" s="1" t="s">
        <v>60</v>
      </c>
      <c r="C16" s="1" t="s">
        <v>9</v>
      </c>
      <c r="D16" s="11">
        <v>45168.729328703703</v>
      </c>
      <c r="E16" s="1" t="s">
        <v>61</v>
      </c>
      <c r="F16" s="1" t="s">
        <v>28</v>
      </c>
      <c r="G16" s="1" t="s">
        <v>26</v>
      </c>
      <c r="H16" s="6" t="s">
        <v>20</v>
      </c>
      <c r="J16" t="str">
        <f t="shared" si="0"/>
        <v>456 Oak StChicago, IL, 60601</v>
      </c>
      <c r="O16" t="str">
        <f t="shared" si="1"/>
        <v>562</v>
      </c>
      <c r="Q16">
        <f t="shared" si="2"/>
        <v>10</v>
      </c>
      <c r="R16">
        <f t="shared" si="3"/>
        <v>12</v>
      </c>
      <c r="S16" t="str">
        <f t="shared" si="4"/>
        <v>IL</v>
      </c>
    </row>
    <row r="17" spans="1:19" x14ac:dyDescent="0.25">
      <c r="A17" s="5" t="s">
        <v>86</v>
      </c>
      <c r="B17" s="1" t="s">
        <v>38</v>
      </c>
      <c r="C17" s="1" t="s">
        <v>7</v>
      </c>
      <c r="D17" s="11">
        <v>45218.319780092592</v>
      </c>
      <c r="E17" s="1" t="s">
        <v>39</v>
      </c>
      <c r="F17" s="1" t="s">
        <v>25</v>
      </c>
      <c r="G17" s="1" t="s">
        <v>37</v>
      </c>
      <c r="H17" s="6" t="s">
        <v>14</v>
      </c>
      <c r="J17" t="str">
        <f t="shared" si="0"/>
        <v>203 Birch StChicago, IL, 60602</v>
      </c>
      <c r="O17" t="str">
        <f t="shared" si="1"/>
        <v>563</v>
      </c>
      <c r="Q17">
        <f t="shared" si="2"/>
        <v>10</v>
      </c>
      <c r="R17">
        <f t="shared" si="3"/>
        <v>12</v>
      </c>
      <c r="S17" t="str">
        <f t="shared" si="4"/>
        <v>IL</v>
      </c>
    </row>
    <row r="18" spans="1:19" x14ac:dyDescent="0.25">
      <c r="A18" s="5" t="s">
        <v>87</v>
      </c>
      <c r="B18" s="1" t="s">
        <v>40</v>
      </c>
      <c r="C18" s="1" t="s">
        <v>12</v>
      </c>
      <c r="D18" s="11">
        <v>45350.719236111108</v>
      </c>
      <c r="E18" s="1" t="s">
        <v>41</v>
      </c>
      <c r="F18" s="1" t="s">
        <v>29</v>
      </c>
      <c r="G18" s="1" t="s">
        <v>30</v>
      </c>
      <c r="H18" s="6" t="s">
        <v>10</v>
      </c>
      <c r="J18" t="str">
        <f t="shared" si="0"/>
        <v>459 Oak StPhiladelphia, PA, 19101</v>
      </c>
      <c r="O18" t="str">
        <f t="shared" si="1"/>
        <v>564</v>
      </c>
      <c r="Q18">
        <f t="shared" si="2"/>
        <v>15</v>
      </c>
      <c r="R18">
        <f t="shared" si="3"/>
        <v>17</v>
      </c>
      <c r="S18" t="str">
        <f t="shared" si="4"/>
        <v>PA</v>
      </c>
    </row>
    <row r="19" spans="1:19" x14ac:dyDescent="0.25">
      <c r="A19" s="5" t="s">
        <v>88</v>
      </c>
      <c r="B19" s="1" t="s">
        <v>48</v>
      </c>
      <c r="C19" s="1" t="s">
        <v>7</v>
      </c>
      <c r="D19" s="11">
        <v>45418.726354166669</v>
      </c>
      <c r="E19" s="1" t="s">
        <v>49</v>
      </c>
      <c r="F19" s="1" t="s">
        <v>28</v>
      </c>
      <c r="G19" s="1" t="s">
        <v>36</v>
      </c>
      <c r="H19" s="6" t="s">
        <v>8</v>
      </c>
      <c r="J19" t="str">
        <f t="shared" si="0"/>
        <v>456 Oak StNew York, NY, 10001</v>
      </c>
      <c r="O19" t="str">
        <f t="shared" si="1"/>
        <v>565</v>
      </c>
      <c r="Q19">
        <f t="shared" si="2"/>
        <v>11</v>
      </c>
      <c r="R19">
        <f t="shared" si="3"/>
        <v>13</v>
      </c>
      <c r="S19" t="str">
        <f t="shared" si="4"/>
        <v>NY</v>
      </c>
    </row>
    <row r="20" spans="1:19" x14ac:dyDescent="0.25">
      <c r="A20" s="5" t="s">
        <v>89</v>
      </c>
      <c r="B20" s="1" t="s">
        <v>40</v>
      </c>
      <c r="C20" s="1" t="s">
        <v>9</v>
      </c>
      <c r="D20" s="11">
        <v>45496.291701388887</v>
      </c>
      <c r="E20" s="1" t="s">
        <v>41</v>
      </c>
      <c r="F20" s="1" t="s">
        <v>29</v>
      </c>
      <c r="G20" s="1" t="s">
        <v>30</v>
      </c>
      <c r="H20" s="6" t="s">
        <v>10</v>
      </c>
      <c r="J20" t="str">
        <f t="shared" si="0"/>
        <v>459 Oak StPhiladelphia, PA, 19101</v>
      </c>
      <c r="O20" t="str">
        <f t="shared" si="1"/>
        <v>566</v>
      </c>
      <c r="Q20">
        <f t="shared" si="2"/>
        <v>15</v>
      </c>
      <c r="R20">
        <f t="shared" si="3"/>
        <v>17</v>
      </c>
      <c r="S20" t="str">
        <f t="shared" si="4"/>
        <v>PA</v>
      </c>
    </row>
    <row r="21" spans="1:19" ht="15.75" thickBot="1" x14ac:dyDescent="0.3">
      <c r="A21" s="5" t="s">
        <v>90</v>
      </c>
      <c r="B21" s="7" t="s">
        <v>40</v>
      </c>
      <c r="C21" s="7" t="s">
        <v>9</v>
      </c>
      <c r="D21" s="12">
        <v>45422.739884259259</v>
      </c>
      <c r="E21" s="7" t="s">
        <v>41</v>
      </c>
      <c r="F21" s="7" t="s">
        <v>29</v>
      </c>
      <c r="G21" s="7" t="s">
        <v>36</v>
      </c>
      <c r="H21" s="8" t="s">
        <v>10</v>
      </c>
      <c r="J21" t="str">
        <f t="shared" si="0"/>
        <v>459 Oak StNew York, NY, 10001</v>
      </c>
      <c r="O21" t="str">
        <f t="shared" si="1"/>
        <v>567</v>
      </c>
      <c r="Q21">
        <f t="shared" si="2"/>
        <v>11</v>
      </c>
      <c r="R21">
        <f t="shared" si="3"/>
        <v>13</v>
      </c>
      <c r="S21" t="str">
        <f t="shared" si="4"/>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zoomScale="120" zoomScaleNormal="120" workbookViewId="0">
      <selection activeCell="A6" sqref="A6"/>
    </sheetView>
  </sheetViews>
  <sheetFormatPr defaultRowHeight="15" x14ac:dyDescent="0.25"/>
  <cols>
    <col min="1" max="1" width="24.42578125" customWidth="1"/>
  </cols>
  <sheetData>
    <row r="2" spans="1:75" x14ac:dyDescent="0.25">
      <c r="A2" s="15" t="s">
        <v>94</v>
      </c>
      <c r="B2" s="16"/>
    </row>
    <row r="3" spans="1:75" x14ac:dyDescent="0.2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_xlfn.UNIQUE(TRANSPOSE(6:6))</f>
        <v>Kafka</v>
      </c>
      <c r="B9" s="1">
        <f>COUNTIF($6:$6,A9)</f>
        <v>3</v>
      </c>
    </row>
    <row r="10" spans="1:75" x14ac:dyDescent="0.25">
      <c r="A10" s="1" t="str">
        <v>DataBricks</v>
      </c>
      <c r="B10" s="1">
        <f t="shared" ref="B10:B25" si="0">COUNTIF($6:$6,A10)</f>
        <v>12</v>
      </c>
    </row>
    <row r="11" spans="1:75" x14ac:dyDescent="0.25">
      <c r="A11" s="1" t="str">
        <v>Spark</v>
      </c>
      <c r="B11" s="1">
        <f t="shared" si="0"/>
        <v>2</v>
      </c>
    </row>
    <row r="12" spans="1:75" x14ac:dyDescent="0.25">
      <c r="A12" s="1" t="str">
        <v>Python</v>
      </c>
      <c r="B12" s="1">
        <f t="shared" si="0"/>
        <v>2</v>
      </c>
    </row>
    <row r="13" spans="1:75" x14ac:dyDescent="0.25">
      <c r="A13" s="1" t="str">
        <v>GCP</v>
      </c>
      <c r="B13" s="1">
        <f t="shared" si="0"/>
        <v>4</v>
      </c>
    </row>
    <row r="14" spans="1:75" x14ac:dyDescent="0.25">
      <c r="A14" s="1" t="str">
        <v>Power BI</v>
      </c>
      <c r="B14" s="1">
        <f t="shared" si="0"/>
        <v>5</v>
      </c>
    </row>
    <row r="15" spans="1:75" x14ac:dyDescent="0.25">
      <c r="A15" s="1" t="str">
        <v>Airflow</v>
      </c>
      <c r="B15" s="1">
        <f t="shared" si="0"/>
        <v>6</v>
      </c>
    </row>
    <row r="16" spans="1:75" x14ac:dyDescent="0.25">
      <c r="A16" s="1" t="str">
        <v>Hadoop</v>
      </c>
      <c r="B16" s="1">
        <f t="shared" si="0"/>
        <v>7</v>
      </c>
    </row>
    <row r="17" spans="1:2" x14ac:dyDescent="0.25">
      <c r="A17" s="1" t="str">
        <v>R</v>
      </c>
      <c r="B17" s="1">
        <f t="shared" si="0"/>
        <v>6</v>
      </c>
    </row>
    <row r="18" spans="1:2" x14ac:dyDescent="0.25">
      <c r="A18" s="1" t="str">
        <v>Azure</v>
      </c>
      <c r="B18" s="1">
        <f t="shared" si="0"/>
        <v>4</v>
      </c>
    </row>
    <row r="19" spans="1:2" x14ac:dyDescent="0.25">
      <c r="A19" s="1" t="str">
        <v>Java</v>
      </c>
      <c r="B19" s="1">
        <f t="shared" si="0"/>
        <v>7</v>
      </c>
    </row>
    <row r="20" spans="1:2" x14ac:dyDescent="0.25">
      <c r="A20" s="1" t="str">
        <v>SQL</v>
      </c>
      <c r="B20" s="1">
        <f t="shared" si="0"/>
        <v>4</v>
      </c>
    </row>
    <row r="21" spans="1:2" x14ac:dyDescent="0.25">
      <c r="A21" s="1" t="str">
        <v>Snowflake</v>
      </c>
      <c r="B21" s="1">
        <f t="shared" si="0"/>
        <v>5</v>
      </c>
    </row>
    <row r="22" spans="1:2" x14ac:dyDescent="0.25">
      <c r="A22" s="1" t="str">
        <v>Scala</v>
      </c>
      <c r="B22" s="1">
        <f t="shared" si="0"/>
        <v>5</v>
      </c>
    </row>
    <row r="23" spans="1:2" x14ac:dyDescent="0.25">
      <c r="A23" s="1" t="str">
        <v>Excel</v>
      </c>
      <c r="B23" s="1">
        <f t="shared" si="0"/>
        <v>2</v>
      </c>
    </row>
    <row r="24" spans="1:2" x14ac:dyDescent="0.25">
      <c r="A24" s="1" t="str">
        <v>Tableau</v>
      </c>
      <c r="B24" s="1">
        <f t="shared" si="0"/>
        <v>1</v>
      </c>
    </row>
    <row r="25" spans="1:2" x14ac:dyDescent="0.2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HP</cp:lastModifiedBy>
  <dcterms:created xsi:type="dcterms:W3CDTF">2015-06-05T18:17:20Z</dcterms:created>
  <dcterms:modified xsi:type="dcterms:W3CDTF">2026-07-20T21:19:55Z</dcterms:modified>
</cp:coreProperties>
</file>