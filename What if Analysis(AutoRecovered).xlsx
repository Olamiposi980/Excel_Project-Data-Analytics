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CF390175-4150-4796-BFDE-E65133E57BA8}" xr6:coauthVersionLast="47" xr6:coauthVersionMax="47" xr10:uidLastSave="{00000000-0000-0000-0000-000000000000}"/>
  <bookViews>
    <workbookView xWindow="-120" yWindow="-120" windowWidth="19440" windowHeight="11520" activeTab="2" xr2:uid="{8F1A39DC-F55A-4FAD-A4D2-469850AC7D64}"/>
  </bookViews>
  <sheets>
    <sheet name="Goal Seek " sheetId="1" r:id="rId1"/>
    <sheet name="Scenario Summary" sheetId="8" r:id="rId2"/>
    <sheet name="Scenario Manager &amp; Data Table" sheetId="2" r:id="rId3"/>
  </sheets>
  <definedNames>
    <definedName name="profit">'Scenario Manager &amp; Data Table'!$B$8</definedName>
    <definedName name="Qty">'Scenario Manager &amp; Data Table'!$B$3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B4" i="2"/>
  <c r="B5" i="2" s="1"/>
  <c r="D11" i="1"/>
  <c r="E11" i="1"/>
  <c r="F11" i="1"/>
  <c r="G11" i="1"/>
  <c r="H11" i="1"/>
  <c r="I11" i="1"/>
  <c r="J11" i="1"/>
  <c r="K11" i="1"/>
  <c r="L11" i="1"/>
  <c r="M11" i="1"/>
  <c r="N11" i="1"/>
  <c r="C11" i="1"/>
  <c r="O4" i="1"/>
  <c r="O5" i="1"/>
  <c r="O6" i="1"/>
  <c r="O7" i="1"/>
  <c r="O8" i="1"/>
  <c r="O9" i="1"/>
  <c r="O10" i="1"/>
  <c r="O3" i="1"/>
  <c r="B7" i="2" l="1"/>
  <c r="B8" i="2" s="1"/>
  <c r="F3" i="2" s="1"/>
  <c r="O11" i="1"/>
</calcChain>
</file>

<file path=xl/sharedStrings.xml><?xml version="1.0" encoding="utf-8"?>
<sst xmlns="http://schemas.openxmlformats.org/spreadsheetml/2006/main" count="49" uniqueCount="45">
  <si>
    <t>Product Name</t>
  </si>
  <si>
    <t>Boggle</t>
  </si>
  <si>
    <t>Codemmes</t>
  </si>
  <si>
    <t>Exploding Kittens</t>
  </si>
  <si>
    <t>Mad Gab</t>
  </si>
  <si>
    <t>Skipbo</t>
  </si>
  <si>
    <t>Telestration</t>
  </si>
  <si>
    <t>Ticket to Ride</t>
  </si>
  <si>
    <t>Wackee Six</t>
  </si>
  <si>
    <t>Total Items Sold Per Month</t>
  </si>
  <si>
    <t>Price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</si>
  <si>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</si>
  <si>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</si>
  <si>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</si>
  <si>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</si>
  <si>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</si>
  <si>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</si>
  <si>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</si>
  <si>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</si>
  <si>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</si>
  <si>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</si>
  <si>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</si>
  <si>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</si>
  <si>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Game Sales</t>
  </si>
  <si>
    <t>Total Year Sales</t>
  </si>
  <si>
    <t>What-If Analysis</t>
  </si>
  <si>
    <t>Qty</t>
  </si>
  <si>
    <t>Total Revenue</t>
  </si>
  <si>
    <t>Transport Cost</t>
  </si>
  <si>
    <t>Item Cost</t>
  </si>
  <si>
    <t>Total Cost</t>
  </si>
  <si>
    <t>Profit</t>
  </si>
  <si>
    <t>200Qty</t>
  </si>
  <si>
    <t>when Qty is 100
Modified by HP on 5/7/2022</t>
  </si>
  <si>
    <t>300 Qty</t>
  </si>
  <si>
    <t>Created by HP on 5/7/2022</t>
  </si>
  <si>
    <t>400 Qty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</si>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</sst>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2" borderId="1" applyNumberFormat="0" applyAlignment="0" applyProtection="0"/>
  </cellStyleXfs>
  <cellXfs count="25">
    <xf numFmtId="0" fontId="0" fillId="0" borderId="0" xfId="0"/>
    <xf numFmtId="0" fontId="2" fillId="0" borderId="0" xfId="0" applyFont="1"/>
    <xf numFmtId="44" fontId="0" fillId="0" borderId="0" xfId="1" applyFont="1"/>
    <xf numFmtId="0" fontId="0" fillId="0" borderId="0" xfId="0" applyFill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2" applyFill="1" applyAlignment="1">
      <alignment horizontal="center"/>
    </xf>
    <xf numFmtId="0" fontId="0" fillId="0" borderId="0" xfId="0" applyFill="1" applyAlignment="1">
      <alignment vertical="center"/>
    </xf>
    <xf numFmtId="44" fontId="0" fillId="0" borderId="0" xfId="1" applyFont="1" applyFill="1"/>
    <xf numFmtId="44" fontId="0" fillId="0" borderId="0" xfId="1" applyFont="1" applyFill="1" applyAlignment="1">
      <alignment vertical="center"/>
    </xf>
    <xf numFmtId="0" fontId="2" fillId="0" borderId="0" xfId="0" applyFont="1" applyFill="1"/>
    <xf numFmtId="0" fontId="0" fillId="0" borderId="0" xfId="0" applyFill="1" applyBorder="1" applyAlignment="1"/>
    <xf numFmtId="44" fontId="0" fillId="0" borderId="0" xfId="0" applyNumberFormat="1" applyFill="1" applyBorder="1" applyAlignment="1"/>
    <xf numFmtId="44" fontId="0" fillId="0" borderId="3" xfId="0" applyNumberFormat="1" applyFill="1" applyBorder="1" applyAlignment="1"/>
    <xf numFmtId="0" fontId="5" fillId="3" borderId="4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0" fillId="0" borderId="5" xfId="0" applyFill="1" applyBorder="1" applyAlignment="1"/>
    <xf numFmtId="0" fontId="6" fillId="4" borderId="0" xfId="0" applyFont="1" applyFill="1" applyBorder="1" applyAlignment="1">
      <alignment horizontal="left"/>
    </xf>
    <xf numFmtId="0" fontId="7" fillId="4" borderId="5" xfId="0" applyFont="1" applyFill="1" applyBorder="1" applyAlignment="1">
      <alignment horizontal="left"/>
    </xf>
    <xf numFmtId="0" fontId="6" fillId="4" borderId="3" xfId="0" applyFont="1" applyFill="1" applyBorder="1" applyAlignment="1">
      <alignment horizontal="left"/>
    </xf>
    <xf numFmtId="0" fontId="8" fillId="3" borderId="2" xfId="0" applyFont="1" applyFill="1" applyBorder="1" applyAlignment="1">
      <alignment horizontal="right"/>
    </xf>
    <xf numFmtId="0" fontId="8" fillId="3" borderId="4" xfId="0" applyFont="1" applyFill="1" applyBorder="1" applyAlignment="1">
      <alignment horizontal="right"/>
    </xf>
    <xf numFmtId="44" fontId="0" fillId="5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</cellXfs>
  <cellStyles count="3">
    <cellStyle name="Currency" xfId="1" builtinId="4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209AE-0557-47D6-9D8A-B8AA24351D7F}">
  <dimension ref="A1:O11"/>
  <sheetViews>
    <sheetView zoomScale="110" zoomScaleNormal="110" workbookViewId="0">
      <selection activeCell="C6" sqref="C6"/>
    </sheetView>
  </sheetViews>
  <sheetFormatPr defaultRowHeight="15" x14ac:dyDescent="0.25"/>
  <cols>
    <col min="1" max="1" width="25.28515625" bestFit="1" customWidth="1"/>
    <col min="11" max="11" width="10.85546875" bestFit="1" customWidth="1"/>
    <col min="15" max="15" width="15" bestFit="1" customWidth="1"/>
  </cols>
  <sheetData>
    <row r="1" spans="1:15" x14ac:dyDescent="0.25">
      <c r="F1" s="5" t="s">
        <v>23</v>
      </c>
      <c r="G1" s="6"/>
    </row>
    <row r="2" spans="1:15" x14ac:dyDescent="0.25">
      <c r="A2" s="1" t="s">
        <v>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24</v>
      </c>
    </row>
    <row r="3" spans="1:15" x14ac:dyDescent="0.25">
      <c r="A3" t="s">
        <v>1</v>
      </c>
      <c r="B3" s="2">
        <v>15</v>
      </c>
      <c r="C3">
        <v>11</v>
      </c>
      <c r="D3">
        <v>25</v>
      </c>
      <c r="E3">
        <v>17</v>
      </c>
      <c r="F3">
        <v>12</v>
      </c>
      <c r="G3">
        <v>5</v>
      </c>
      <c r="H3">
        <v>24</v>
      </c>
      <c r="I3">
        <v>4</v>
      </c>
      <c r="J3">
        <v>3</v>
      </c>
      <c r="K3">
        <v>29</v>
      </c>
      <c r="L3">
        <v>10</v>
      </c>
      <c r="M3">
        <v>44</v>
      </c>
      <c r="N3">
        <v>89</v>
      </c>
      <c r="O3" s="2">
        <f>SUM(B3:N3)*B3</f>
        <v>4320</v>
      </c>
    </row>
    <row r="4" spans="1:15" x14ac:dyDescent="0.25">
      <c r="A4" t="s">
        <v>2</v>
      </c>
      <c r="B4" s="2">
        <v>25</v>
      </c>
      <c r="C4">
        <v>69</v>
      </c>
      <c r="D4">
        <v>39</v>
      </c>
      <c r="E4">
        <v>11</v>
      </c>
      <c r="F4">
        <v>56</v>
      </c>
      <c r="G4">
        <v>32</v>
      </c>
      <c r="H4">
        <v>11</v>
      </c>
      <c r="I4">
        <v>4</v>
      </c>
      <c r="J4">
        <v>6</v>
      </c>
      <c r="K4">
        <v>67</v>
      </c>
      <c r="L4">
        <v>7</v>
      </c>
      <c r="M4">
        <v>5</v>
      </c>
      <c r="N4">
        <v>4</v>
      </c>
      <c r="O4" s="2">
        <f t="shared" ref="O4:O10" si="0">SUM(B4:N4)*B4</f>
        <v>8400</v>
      </c>
    </row>
    <row r="5" spans="1:15" x14ac:dyDescent="0.25">
      <c r="A5" t="s">
        <v>3</v>
      </c>
      <c r="B5" s="2">
        <v>15</v>
      </c>
      <c r="C5">
        <v>33</v>
      </c>
      <c r="D5">
        <v>5</v>
      </c>
      <c r="E5">
        <v>25</v>
      </c>
      <c r="F5">
        <v>15</v>
      </c>
      <c r="G5">
        <v>23</v>
      </c>
      <c r="H5">
        <v>5</v>
      </c>
      <c r="I5">
        <v>6</v>
      </c>
      <c r="J5">
        <v>42</v>
      </c>
      <c r="K5">
        <v>11</v>
      </c>
      <c r="L5">
        <v>5</v>
      </c>
      <c r="M5">
        <v>5</v>
      </c>
      <c r="N5">
        <v>13</v>
      </c>
      <c r="O5" s="2">
        <f t="shared" si="0"/>
        <v>3045</v>
      </c>
    </row>
    <row r="6" spans="1:15" x14ac:dyDescent="0.25">
      <c r="A6" t="s">
        <v>4</v>
      </c>
      <c r="B6" s="2">
        <v>25</v>
      </c>
      <c r="C6">
        <v>12024.000006501343</v>
      </c>
      <c r="D6">
        <v>53</v>
      </c>
      <c r="E6">
        <v>42</v>
      </c>
      <c r="F6">
        <v>11</v>
      </c>
      <c r="G6">
        <v>5</v>
      </c>
      <c r="H6">
        <v>15</v>
      </c>
      <c r="I6">
        <v>2</v>
      </c>
      <c r="J6">
        <v>56</v>
      </c>
      <c r="K6">
        <v>25</v>
      </c>
      <c r="L6">
        <v>4</v>
      </c>
      <c r="M6">
        <v>5</v>
      </c>
      <c r="N6">
        <v>25</v>
      </c>
      <c r="O6" s="2">
        <f t="shared" si="0"/>
        <v>307300.00016253354</v>
      </c>
    </row>
    <row r="7" spans="1:15" x14ac:dyDescent="0.25">
      <c r="A7" t="s">
        <v>5</v>
      </c>
      <c r="B7" s="2">
        <v>280.71756227163701</v>
      </c>
      <c r="C7">
        <v>8</v>
      </c>
      <c r="D7">
        <v>11</v>
      </c>
      <c r="E7">
        <v>15</v>
      </c>
      <c r="F7">
        <v>11</v>
      </c>
      <c r="G7">
        <v>23</v>
      </c>
      <c r="H7">
        <v>23</v>
      </c>
      <c r="I7">
        <v>1</v>
      </c>
      <c r="J7">
        <v>15</v>
      </c>
      <c r="K7">
        <v>42</v>
      </c>
      <c r="L7">
        <v>23</v>
      </c>
      <c r="M7">
        <v>64</v>
      </c>
      <c r="N7">
        <v>6</v>
      </c>
      <c r="O7" s="2">
        <f t="shared" si="0"/>
        <v>146735.99983746654</v>
      </c>
    </row>
    <row r="8" spans="1:15" x14ac:dyDescent="0.25">
      <c r="A8" t="s">
        <v>6</v>
      </c>
      <c r="B8" s="2">
        <v>26</v>
      </c>
      <c r="C8">
        <v>20</v>
      </c>
      <c r="D8">
        <v>22</v>
      </c>
      <c r="E8">
        <v>23</v>
      </c>
      <c r="F8">
        <v>15</v>
      </c>
      <c r="G8">
        <v>21</v>
      </c>
      <c r="H8">
        <v>3</v>
      </c>
      <c r="I8">
        <v>23</v>
      </c>
      <c r="J8">
        <v>11</v>
      </c>
      <c r="K8">
        <v>15</v>
      </c>
      <c r="L8">
        <v>42</v>
      </c>
      <c r="M8">
        <v>11</v>
      </c>
      <c r="N8">
        <v>25</v>
      </c>
      <c r="O8" s="2">
        <f t="shared" si="0"/>
        <v>6682</v>
      </c>
    </row>
    <row r="9" spans="1:15" x14ac:dyDescent="0.25">
      <c r="A9" t="s">
        <v>7</v>
      </c>
      <c r="B9" s="2">
        <v>45</v>
      </c>
      <c r="C9">
        <v>65</v>
      </c>
      <c r="D9">
        <v>15</v>
      </c>
      <c r="E9">
        <v>69</v>
      </c>
      <c r="F9">
        <v>69</v>
      </c>
      <c r="G9">
        <v>9</v>
      </c>
      <c r="H9">
        <v>8</v>
      </c>
      <c r="I9">
        <v>1</v>
      </c>
      <c r="J9">
        <v>11</v>
      </c>
      <c r="K9">
        <v>14</v>
      </c>
      <c r="L9">
        <v>11</v>
      </c>
      <c r="M9">
        <v>4</v>
      </c>
      <c r="N9">
        <v>42</v>
      </c>
      <c r="O9" s="2">
        <f t="shared" si="0"/>
        <v>16335</v>
      </c>
    </row>
    <row r="10" spans="1:15" x14ac:dyDescent="0.25">
      <c r="A10" t="s">
        <v>8</v>
      </c>
      <c r="B10" s="2">
        <v>27</v>
      </c>
      <c r="C10">
        <v>22</v>
      </c>
      <c r="D10">
        <v>9</v>
      </c>
      <c r="E10">
        <v>24</v>
      </c>
      <c r="F10">
        <v>24</v>
      </c>
      <c r="G10">
        <v>69</v>
      </c>
      <c r="H10">
        <v>15</v>
      </c>
      <c r="I10">
        <v>42</v>
      </c>
      <c r="J10">
        <v>11</v>
      </c>
      <c r="K10">
        <v>5</v>
      </c>
      <c r="M10">
        <v>3</v>
      </c>
      <c r="N10">
        <v>15</v>
      </c>
      <c r="O10" s="2">
        <f t="shared" si="0"/>
        <v>7182</v>
      </c>
    </row>
    <row r="11" spans="1:15" x14ac:dyDescent="0.25">
      <c r="A11" s="1" t="s">
        <v>9</v>
      </c>
      <c r="C11">
        <f>SUM(C3:C10)</f>
        <v>12252.000006501343</v>
      </c>
      <c r="D11">
        <f t="shared" ref="D11:O11" si="1">SUM(D3:D10)</f>
        <v>179</v>
      </c>
      <c r="E11">
        <f t="shared" si="1"/>
        <v>226</v>
      </c>
      <c r="F11">
        <f t="shared" si="1"/>
        <v>213</v>
      </c>
      <c r="G11">
        <f t="shared" si="1"/>
        <v>187</v>
      </c>
      <c r="H11">
        <f t="shared" si="1"/>
        <v>104</v>
      </c>
      <c r="I11">
        <f t="shared" si="1"/>
        <v>83</v>
      </c>
      <c r="J11">
        <f t="shared" si="1"/>
        <v>155</v>
      </c>
      <c r="K11">
        <f t="shared" si="1"/>
        <v>208</v>
      </c>
      <c r="L11">
        <f t="shared" si="1"/>
        <v>102</v>
      </c>
      <c r="M11">
        <f t="shared" si="1"/>
        <v>141</v>
      </c>
      <c r="N11">
        <f t="shared" si="1"/>
        <v>219</v>
      </c>
      <c r="O11" s="2">
        <f t="shared" si="1"/>
        <v>500000.00000000012</v>
      </c>
    </row>
  </sheetData>
  <scenarios current="0" show="0">
    <scenario name="current year" locked="1" count="8" user="HP" comment="actual current year numbers">
      <inputCells r="N3" val="89"/>
      <inputCells r="N4" val="4"/>
      <inputCells r="N5" val="13"/>
      <inputCells r="N6" val="25"/>
      <inputCells r="N7" val="6"/>
      <inputCells r="N8" val="25"/>
      <inputCells r="N9" val="42"/>
      <inputCells r="N10" val="15"/>
    </scenario>
    <scenario name="optimistic" locked="1" count="8" user="HP" comment="best case scenario">
      <inputCells r="N3" val="100"/>
      <inputCells r="N4" val="100"/>
      <inputCells r="N5" val="100"/>
      <inputCells r="N6" val="100"/>
      <inputCells r="N7" val="100"/>
      <inputCells r="N8" val="100"/>
      <inputCells r="N9" val="100"/>
      <inputCells r="N10" val="100"/>
    </scenario>
    <scenario name="persimistic" locked="1" count="8" user="HP" comment="worst case scenario">
      <inputCells r="N3" val="3"/>
      <inputCells r="N4" val="3"/>
      <inputCells r="N5" val="3"/>
      <inputCells r="N6" val="3"/>
      <inputCells r="N7" val="3"/>
      <inputCells r="N8" val="3"/>
      <inputCells r="N9" val="3"/>
      <inputCells r="N10" val="3"/>
    </scenario>
  </scenarios>
  <mergeCells count="1">
    <mergeCell ref="F1:G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42DA6-F743-464C-AE02-B3BB3FE65A03}">
  <sheetPr>
    <outlinePr summaryBelow="0"/>
  </sheetPr>
  <dimension ref="B1:G11"/>
  <sheetViews>
    <sheetView showGridLines="0" workbookViewId="0"/>
  </sheetViews>
  <sheetFormatPr defaultRowHeight="15" outlineLevelRow="1" outlineLevelCol="1" x14ac:dyDescent="0.25"/>
  <cols>
    <col min="3" max="3" width="6" bestFit="1" customWidth="1"/>
    <col min="4" max="7" width="13.140625" bestFit="1" customWidth="1" outlineLevel="1"/>
  </cols>
  <sheetData>
    <row r="1" spans="2:7" ht="15.75" thickBot="1" x14ac:dyDescent="0.3"/>
    <row r="2" spans="2:7" ht="15.75" x14ac:dyDescent="0.25">
      <c r="B2" s="16" t="s">
        <v>37</v>
      </c>
      <c r="C2" s="16"/>
      <c r="D2" s="21"/>
      <c r="E2" s="21"/>
      <c r="F2" s="21"/>
      <c r="G2" s="21"/>
    </row>
    <row r="3" spans="2:7" ht="15.75" collapsed="1" x14ac:dyDescent="0.25">
      <c r="B3" s="15"/>
      <c r="C3" s="15"/>
      <c r="D3" s="22" t="s">
        <v>39</v>
      </c>
      <c r="E3" s="22" t="s">
        <v>32</v>
      </c>
      <c r="F3" s="22" t="s">
        <v>34</v>
      </c>
      <c r="G3" s="22" t="s">
        <v>36</v>
      </c>
    </row>
    <row r="4" spans="2:7" ht="33.75" hidden="1" outlineLevel="1" x14ac:dyDescent="0.25">
      <c r="B4" s="18"/>
      <c r="C4" s="18"/>
      <c r="D4" s="12"/>
      <c r="E4" s="24" t="s">
        <v>33</v>
      </c>
      <c r="F4" s="24" t="s">
        <v>35</v>
      </c>
      <c r="G4" s="24" t="s">
        <v>35</v>
      </c>
    </row>
    <row r="5" spans="2:7" x14ac:dyDescent="0.25">
      <c r="B5" s="19" t="s">
        <v>38</v>
      </c>
      <c r="C5" s="19"/>
      <c r="D5" s="17"/>
      <c r="E5" s="17"/>
      <c r="F5" s="17"/>
      <c r="G5" s="17"/>
    </row>
    <row r="6" spans="2:7" outlineLevel="1" x14ac:dyDescent="0.25">
      <c r="B6" s="18"/>
      <c r="C6" s="18" t="s">
        <v>26</v>
      </c>
      <c r="D6" s="13">
        <v>100</v>
      </c>
      <c r="E6" s="23">
        <v>200</v>
      </c>
      <c r="F6" s="23">
        <v>300</v>
      </c>
      <c r="G6" s="23">
        <v>400</v>
      </c>
    </row>
    <row r="7" spans="2:7" x14ac:dyDescent="0.25">
      <c r="B7" s="19" t="s">
        <v>40</v>
      </c>
      <c r="C7" s="19"/>
      <c r="D7" s="17"/>
      <c r="E7" s="17"/>
      <c r="F7" s="17"/>
      <c r="G7" s="17"/>
    </row>
    <row r="8" spans="2:7" ht="15.75" outlineLevel="1" thickBot="1" x14ac:dyDescent="0.3">
      <c r="B8" s="20"/>
      <c r="C8" s="20" t="s">
        <v>44</v>
      </c>
      <c r="D8" s="14">
        <v>880</v>
      </c>
      <c r="E8" s="14">
        <v>1760</v>
      </c>
      <c r="F8" s="14">
        <v>2640</v>
      </c>
      <c r="G8" s="14">
        <v>3520</v>
      </c>
    </row>
    <row r="9" spans="2:7" x14ac:dyDescent="0.25">
      <c r="B9" t="s">
        <v>41</v>
      </c>
    </row>
    <row r="10" spans="2:7" x14ac:dyDescent="0.25">
      <c r="B10" t="s">
        <v>42</v>
      </c>
    </row>
    <row r="11" spans="2:7" x14ac:dyDescent="0.25">
      <c r="B1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44D20-1D31-4F4F-8089-16BEB0FFF0B0}">
  <dimension ref="A1:F15"/>
  <sheetViews>
    <sheetView tabSelected="1" zoomScale="120" zoomScaleNormal="120" workbookViewId="0">
      <selection activeCell="F10" sqref="F10"/>
    </sheetView>
  </sheetViews>
  <sheetFormatPr defaultRowHeight="15" x14ac:dyDescent="0.25"/>
  <cols>
    <col min="1" max="1" width="16.28515625" customWidth="1"/>
    <col min="2" max="2" width="20.5703125" bestFit="1" customWidth="1"/>
    <col min="3" max="3" width="15.85546875" bestFit="1" customWidth="1"/>
    <col min="4" max="4" width="13.42578125" bestFit="1" customWidth="1"/>
    <col min="5" max="5" width="17" bestFit="1" customWidth="1"/>
    <col min="6" max="6" width="10.85546875" bestFit="1" customWidth="1"/>
  </cols>
  <sheetData>
    <row r="1" spans="1:6" x14ac:dyDescent="0.25">
      <c r="A1" s="7" t="s">
        <v>25</v>
      </c>
      <c r="B1" s="7"/>
      <c r="C1" s="7"/>
      <c r="D1" s="7"/>
      <c r="E1" s="7"/>
    </row>
    <row r="2" spans="1:6" x14ac:dyDescent="0.25">
      <c r="A2" s="3" t="s">
        <v>10</v>
      </c>
      <c r="B2" s="9">
        <v>32</v>
      </c>
      <c r="C2" s="3"/>
      <c r="D2" s="3"/>
      <c r="E2" s="3"/>
    </row>
    <row r="3" spans="1:6" x14ac:dyDescent="0.25">
      <c r="A3" s="3" t="s">
        <v>26</v>
      </c>
      <c r="B3" s="9">
        <v>100</v>
      </c>
      <c r="C3" s="3"/>
      <c r="D3" s="3"/>
      <c r="E3" s="3" t="s">
        <v>26</v>
      </c>
      <c r="F3">
        <f>profit</f>
        <v>880</v>
      </c>
    </row>
    <row r="4" spans="1:6" x14ac:dyDescent="0.25">
      <c r="A4" s="3" t="s">
        <v>27</v>
      </c>
      <c r="B4" s="9">
        <f>B2*B3</f>
        <v>3200</v>
      </c>
      <c r="C4" s="3"/>
      <c r="D4" s="3"/>
      <c r="E4" s="3">
        <v>200</v>
      </c>
      <c r="F4" s="2">
        <f t="dataTable" ref="F4:F9" dt2D="0" dtr="0" r1="B3"/>
        <v>1760</v>
      </c>
    </row>
    <row r="5" spans="1:6" x14ac:dyDescent="0.25">
      <c r="A5" s="3" t="s">
        <v>28</v>
      </c>
      <c r="B5" s="9">
        <f>B4*10%</f>
        <v>320</v>
      </c>
      <c r="C5" s="8"/>
      <c r="D5" s="3"/>
      <c r="E5" s="3">
        <v>300</v>
      </c>
      <c r="F5">
        <v>2640</v>
      </c>
    </row>
    <row r="6" spans="1:6" x14ac:dyDescent="0.25">
      <c r="A6" s="3" t="s">
        <v>29</v>
      </c>
      <c r="B6" s="9">
        <f>20*B3</f>
        <v>2000</v>
      </c>
      <c r="C6" s="9"/>
      <c r="D6" s="3"/>
      <c r="E6" s="3">
        <v>400</v>
      </c>
      <c r="F6">
        <v>3520</v>
      </c>
    </row>
    <row r="7" spans="1:6" x14ac:dyDescent="0.25">
      <c r="A7" s="3" t="s">
        <v>30</v>
      </c>
      <c r="B7" s="9">
        <f>B5+B6</f>
        <v>2320</v>
      </c>
      <c r="C7" s="9"/>
      <c r="D7" s="3"/>
      <c r="E7" s="3">
        <v>500</v>
      </c>
      <c r="F7">
        <v>4400</v>
      </c>
    </row>
    <row r="8" spans="1:6" x14ac:dyDescent="0.25">
      <c r="A8" s="11" t="s">
        <v>31</v>
      </c>
      <c r="B8" s="9">
        <f>B4-B7</f>
        <v>880</v>
      </c>
      <c r="C8" s="9"/>
      <c r="D8" s="3"/>
      <c r="E8" s="3">
        <v>600</v>
      </c>
      <c r="F8">
        <v>5280</v>
      </c>
    </row>
    <row r="9" spans="1:6" x14ac:dyDescent="0.25">
      <c r="A9" s="3"/>
      <c r="B9" s="3"/>
      <c r="C9" s="10"/>
      <c r="D9" s="3"/>
      <c r="E9" s="3">
        <v>700</v>
      </c>
      <c r="F9">
        <v>6160</v>
      </c>
    </row>
    <row r="15" spans="1:6" x14ac:dyDescent="0.25">
      <c r="F15" s="4"/>
    </row>
  </sheetData>
  <scenarios current="0" show="0" sqref="B8">
    <scenario name="200Qty" locked="1" count="1" user="HP" comment="when Qty is 100_x000a_Modified by HP on 5/7/2022">
      <inputCells r="B3" val="200" numFmtId="44"/>
    </scenario>
    <scenario name="300 Qty" locked="1" count="1" user="HP" comment="Created by HP on 5/7/2022">
      <inputCells r="B3" val="300" numFmtId="44"/>
    </scenario>
    <scenario name="400 Qty" locked="1" count="1" user="HP" comment="Created by HP on 5/7/2022">
      <inputCells r="B3" val="400" numFmtId="44"/>
    </scenario>
  </scenarios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Goal Seek </vt:lpstr>
      <vt:lpstr>Scenario Summary</vt:lpstr>
      <vt:lpstr>Scenario Manager &amp; Data Table</vt:lpstr>
      <vt:lpstr>profit</vt:lpstr>
      <vt:lpstr>Qty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2022-05-08T11:25:20Z</dcterms:created>
  <dcterms:modified xsi:type="dcterms:W3CDTF">2022-05-07T23:39:54Z</dcterms:modified>
</cp:coreProperties>
</file>